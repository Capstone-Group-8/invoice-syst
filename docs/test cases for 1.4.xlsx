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13_ncr:1_{8AC3D50F-E8FC-4FC3-A08A-03E162BFAC81}" xr6:coauthVersionLast="47" xr6:coauthVersionMax="47" xr10:uidLastSave="{00000000-0000-0000-0000-000000000000}"/>
  <bookViews>
    <workbookView xWindow="-120" yWindow="-120" windowWidth="24240" windowHeight="13140" tabRatio="500" activeTab="2" xr2:uid="{00000000-000D-0000-FFFF-FFFF00000000}"/>
  </bookViews>
  <sheets>
    <sheet name="1.4.1" sheetId="1" r:id="rId1"/>
    <sheet name="1.4.2" sheetId="3" r:id="rId2"/>
    <sheet name="1.4.3" sheetId="2" r:id="rId3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13" i="2" l="1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13" i="1"/>
  <c r="H14" i="1"/>
  <c r="H15" i="1"/>
  <c r="H16" i="1"/>
  <c r="H17" i="1"/>
  <c r="H18" i="1"/>
  <c r="H19" i="1"/>
  <c r="H20" i="1"/>
  <c r="H21" i="1"/>
  <c r="H22" i="1"/>
  <c r="I13" i="1"/>
  <c r="I14" i="1"/>
  <c r="I15" i="1"/>
  <c r="I16" i="1"/>
  <c r="I17" i="1"/>
  <c r="I18" i="1"/>
  <c r="I19" i="1"/>
  <c r="I20" i="1"/>
  <c r="I21" i="1"/>
  <c r="I22" i="1"/>
  <c r="J13" i="1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I12" i="3"/>
  <c r="H12" i="3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I12" i="2"/>
  <c r="H12" i="2"/>
  <c r="I12" i="1"/>
  <c r="H12" i="1"/>
  <c r="K13" i="1"/>
  <c r="K14" i="1"/>
  <c r="K15" i="1"/>
  <c r="K16" i="1"/>
  <c r="K17" i="1"/>
  <c r="K18" i="1"/>
  <c r="K19" i="1"/>
  <c r="K20" i="1"/>
  <c r="K21" i="1"/>
  <c r="K22" i="1"/>
  <c r="K12" i="1"/>
  <c r="J14" i="1"/>
  <c r="J15" i="1"/>
  <c r="J16" i="1"/>
  <c r="J17" i="1"/>
  <c r="J18" i="1"/>
  <c r="J19" i="1"/>
  <c r="J20" i="1"/>
  <c r="J21" i="1"/>
  <c r="J22" i="1"/>
  <c r="J12" i="1"/>
</calcChain>
</file>

<file path=xl/sharedStrings.xml><?xml version="1.0" encoding="utf-8"?>
<sst xmlns="http://schemas.openxmlformats.org/spreadsheetml/2006/main" count="136" uniqueCount="83">
  <si>
    <t>Project title</t>
  </si>
  <si>
    <t>Test type</t>
  </si>
  <si>
    <t>Module</t>
  </si>
  <si>
    <t>Case review date</t>
  </si>
  <si>
    <t>Test date</t>
  </si>
  <si>
    <t>Business Analyst</t>
  </si>
  <si>
    <t>Tester</t>
  </si>
  <si>
    <t>Test case #</t>
  </si>
  <si>
    <t>Desc</t>
  </si>
  <si>
    <t>Inputs</t>
  </si>
  <si>
    <t>Test 1</t>
  </si>
  <si>
    <t>Test 2</t>
  </si>
  <si>
    <t>Test 3</t>
  </si>
  <si>
    <t>Test 4</t>
  </si>
  <si>
    <t>Range</t>
  </si>
  <si>
    <t>St. Dev.</t>
  </si>
  <si>
    <t>Variance</t>
  </si>
  <si>
    <t>Mean</t>
  </si>
  <si>
    <t>1.4.1.1</t>
  </si>
  <si>
    <t>1.4.1.2</t>
  </si>
  <si>
    <t>1.4.1.3</t>
  </si>
  <si>
    <t>1.4.1.4</t>
  </si>
  <si>
    <t>1.4.1.5</t>
  </si>
  <si>
    <t>1.4.1.6</t>
  </si>
  <si>
    <t>1.4.1.7</t>
  </si>
  <si>
    <t>1.4.1.8</t>
  </si>
  <si>
    <t>1.4.1.9</t>
  </si>
  <si>
    <t>1.4.1.10</t>
  </si>
  <si>
    <t>1.4.1.11</t>
  </si>
  <si>
    <t>Invoice number</t>
  </si>
  <si>
    <t>Order date</t>
  </si>
  <si>
    <t>1.4.2.1</t>
  </si>
  <si>
    <t>1.4.2.2</t>
  </si>
  <si>
    <t>1.4.2.3</t>
  </si>
  <si>
    <t>1.4.2.4</t>
  </si>
  <si>
    <t>1.4.2.5</t>
  </si>
  <si>
    <t>1.4.2.6</t>
  </si>
  <si>
    <t>1.4.2.7</t>
  </si>
  <si>
    <t>1.4.2.8</t>
  </si>
  <si>
    <t>1.4.2.9</t>
  </si>
  <si>
    <t>1.4.2.10</t>
  </si>
  <si>
    <t>1.4.2.11</t>
  </si>
  <si>
    <t>1.4.3.1</t>
  </si>
  <si>
    <t>1.4.3.2</t>
  </si>
  <si>
    <t>1.4.3.3</t>
  </si>
  <si>
    <t>1.4.3.4</t>
  </si>
  <si>
    <t>1.4.3.5</t>
  </si>
  <si>
    <t>1.4.3.6</t>
  </si>
  <si>
    <t>1.4.3.7</t>
  </si>
  <si>
    <t>1.4.3.8</t>
  </si>
  <si>
    <t>1.4.3.9</t>
  </si>
  <si>
    <t>1.4.3.10</t>
  </si>
  <si>
    <t>1.4.3.11</t>
  </si>
  <si>
    <t>Cinnabar Rod</t>
  </si>
  <si>
    <t>Clear Transparent Tekta</t>
  </si>
  <si>
    <t>Bullseye GlasTac Gel, 4 oz</t>
  </si>
  <si>
    <t>Sally Little</t>
  </si>
  <si>
    <t>AI</t>
  </si>
  <si>
    <t>Invoice Processing System</t>
  </si>
  <si>
    <t>Invoice 5488</t>
  </si>
  <si>
    <t>Reactive Cloud Opalescent, Double- rolled, 3 mm; Fusible, 35 x 20 in:, Ful.</t>
  </si>
  <si>
    <t>French Vanilla Opalescent; Double- rolled, 3 mm, Fusible; 17 X 20 in:, Hal.</t>
  </si>
  <si>
    <t>Deep Royal Blue Transparent; Rod, 5 mm, Fusible, Each</t>
  </si>
  <si>
    <t>Steel Blue Transparent; Rod, 5 mm, Fusible, Each</t>
  </si>
  <si>
    <t>Neo-Lavender Shift Transparent, Fine Frit, Fusible, Ib. jar</t>
  </si>
  <si>
    <t>Royal Purple, Powder Blue Opal 2-Color Mix, Double-rolled, 3 mm, Fusible;_</t>
  </si>
  <si>
    <t>All</t>
  </si>
  <si>
    <t>Invoice 4022</t>
  </si>
  <si>
    <t>Invoice 7202</t>
  </si>
  <si>
    <t>French Vanilla Opalescent, Double- rolled, 3 mm; Fusible; 35 x 20 in., Ful.</t>
  </si>
  <si>
    <t>Deep Royal Blue Transparent; Double- rolled, 3 mm; Fusible, 35x 20 in., F_</t>
  </si>
  <si>
    <t>Grass Green Tint, Coarse Frit, Fusible, 5 0Z. jar</t>
  </si>
  <si>
    <t>Woodland Brown Opal, Ivory, Black 3+ Color Mix, Double-rolled, 3 mm, Fusi:_</t>
  </si>
  <si>
    <t>Bullseye Shelf Primer, 5 Ib. (2.27 kg)</t>
  </si>
  <si>
    <t>Clear Transparent, Reeded Texture, 3 mm, Fusible, 35 x 20 in., Full Sheet</t>
  </si>
  <si>
    <t>Garnet Red Transparent, Double-rolled, 3 mm, Fusible; 35X 20 in;, Full S.</t>
  </si>
  <si>
    <t>Warm White Opalescent; Rod, 5 mm, Fusible, Each</t>
  </si>
  <si>
    <t>Opaque White Opalescent; Stringer, 1 mm, Fusible, by the Tube</t>
  </si>
  <si>
    <t>French Vanilla Opalescent, Double- rolled, 3 mm, Fusible, 35 x 20 in,, Ful.</t>
  </si>
  <si>
    <t>Steel Blue Opalescent,; Double-rolled, 3 mm, Fusible; 35 x 20 in:, Full Sh._</t>
  </si>
  <si>
    <t>Clear Transparent; Powder Frit, Fusible, 5 Ib. jar</t>
  </si>
  <si>
    <t>Clear; Spring Green Opal 2-Color Mix, Double-rolled, 3 mm; Fusible, 35 X</t>
  </si>
  <si>
    <t>Powder Blue Opalescent; Double-rolled, 3 mm; Fusible; 35 x 20 in., Full 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</si>
</sst>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showGridLines="0" zoomScale="120" zoomScaleNormal="120" workbookViewId="0">
      <selection activeCell="F14" sqref="F14"/>
    </sheetView>
  </sheetViews>
  <sheetFormatPr defaultColWidth="11.5703125" defaultRowHeight="12.75" x14ac:dyDescent="0.2"/>
  <cols>
    <col min="1" max="1" width="5.7109375" customWidth="1"/>
    <col min="2" max="2" width="11.28515625" customWidth="1"/>
    <col min="3" max="3" width="28" customWidth="1"/>
    <col min="5" max="5" width="18.140625" customWidth="1"/>
    <col min="6" max="6" width="16.140625" customWidth="1"/>
    <col min="8" max="8" width="14.140625" hidden="1" customWidth="1"/>
    <col min="9" max="9" width="11.42578125" hidden="1" customWidth="1"/>
  </cols>
  <sheetData>
    <row r="1" spans="2:11" x14ac:dyDescent="0.2">
      <c r="B1" s="1"/>
      <c r="D1" s="1"/>
    </row>
    <row r="2" spans="2:11" x14ac:dyDescent="0.2">
      <c r="C2" s="2" t="s">
        <v>0</v>
      </c>
      <c r="D2" s="11" t="s">
        <v>58</v>
      </c>
      <c r="E2" s="11"/>
      <c r="F2" s="11"/>
      <c r="G2" s="11"/>
      <c r="H2" s="11"/>
      <c r="I2" s="8"/>
    </row>
    <row r="3" spans="2:11" x14ac:dyDescent="0.2">
      <c r="C3" s="2" t="s">
        <v>1</v>
      </c>
      <c r="D3" s="10" t="s">
        <v>57</v>
      </c>
      <c r="E3" s="10"/>
      <c r="F3" s="2" t="s">
        <v>2</v>
      </c>
      <c r="G3" s="10" t="s">
        <v>57</v>
      </c>
      <c r="H3" s="10"/>
      <c r="I3" s="9"/>
    </row>
    <row r="4" spans="2:11" x14ac:dyDescent="0.2">
      <c r="C4" s="2" t="s">
        <v>3</v>
      </c>
      <c r="D4" s="11"/>
      <c r="E4" s="11"/>
      <c r="F4" s="2" t="s">
        <v>4</v>
      </c>
      <c r="G4" s="12">
        <v>46302</v>
      </c>
      <c r="H4" s="10"/>
      <c r="I4" s="9"/>
    </row>
    <row r="5" spans="2:11" x14ac:dyDescent="0.2">
      <c r="C5" s="3"/>
      <c r="E5" s="1"/>
    </row>
    <row r="6" spans="2:11" x14ac:dyDescent="0.2">
      <c r="C6" s="3"/>
      <c r="E6" s="1"/>
    </row>
    <row r="7" spans="2:11" x14ac:dyDescent="0.2">
      <c r="C7" s="2" t="s">
        <v>5</v>
      </c>
      <c r="D7" s="10" t="s">
        <v>56</v>
      </c>
      <c r="E7" s="10"/>
      <c r="F7" s="4" t="s">
        <v>9</v>
      </c>
      <c r="G7" s="10" t="s">
        <v>59</v>
      </c>
      <c r="H7" s="10"/>
      <c r="I7" s="9"/>
    </row>
    <row r="8" spans="2:11" x14ac:dyDescent="0.2">
      <c r="C8" s="2" t="s">
        <v>6</v>
      </c>
      <c r="D8" s="11" t="s">
        <v>66</v>
      </c>
      <c r="E8" s="11"/>
    </row>
    <row r="11" spans="2:11" x14ac:dyDescent="0.2">
      <c r="B11" s="4" t="s">
        <v>7</v>
      </c>
      <c r="C11" s="4" t="s">
        <v>8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4" t="s">
        <v>17</v>
      </c>
      <c r="J11" s="4" t="s">
        <v>16</v>
      </c>
      <c r="K11" s="4" t="s">
        <v>15</v>
      </c>
    </row>
    <row r="12" spans="2:11" x14ac:dyDescent="0.2">
      <c r="B12" s="5" t="s">
        <v>18</v>
      </c>
      <c r="C12" s="5" t="s">
        <v>29</v>
      </c>
      <c r="D12" s="5">
        <v>0</v>
      </c>
      <c r="E12" s="5"/>
      <c r="F12" s="5"/>
      <c r="G12" s="6"/>
      <c r="H12" s="5" t="str">
        <f>MIN(D12:G12) &amp; "-" &amp; MAX(D12:G12)</f>
        <v>0-0</v>
      </c>
      <c r="I12" s="5">
        <f>AVERAGE(D12:G12)</f>
        <v>0</v>
      </c>
      <c r="J12" s="5" t="e">
        <f>VAR(D12:G12)</f>
        <v>#DIV/0!</v>
      </c>
      <c r="K12" s="5" t="e">
        <f>STDEV(D12:G12)</f>
        <v>#DIV/0!</v>
      </c>
    </row>
    <row r="13" spans="2:11" x14ac:dyDescent="0.2">
      <c r="B13" s="5" t="s">
        <v>19</v>
      </c>
      <c r="C13" s="5" t="s">
        <v>30</v>
      </c>
      <c r="D13" s="5">
        <v>0</v>
      </c>
      <c r="E13" s="5"/>
      <c r="F13" s="5"/>
      <c r="G13" s="6"/>
      <c r="H13" s="5" t="str">
        <f t="shared" ref="H13:H22" si="0">MIN(D13:G13) &amp; "-" &amp; MAX(D13:G13)</f>
        <v>0-0</v>
      </c>
      <c r="I13" s="5">
        <f t="shared" ref="I13:I22" si="1">AVERAGE(D13:G13)</f>
        <v>0</v>
      </c>
      <c r="J13" s="5" t="e">
        <f>VAR(D13:G13)</f>
        <v>#DIV/0!</v>
      </c>
      <c r="K13" s="5" t="e">
        <f t="shared" ref="K13:K22" si="2">STDEV(D13:G13)</f>
        <v>#DIV/0!</v>
      </c>
    </row>
    <row r="14" spans="2:11" x14ac:dyDescent="0.2">
      <c r="B14" s="5" t="s">
        <v>20</v>
      </c>
      <c r="C14" s="5" t="s">
        <v>60</v>
      </c>
      <c r="D14" s="5">
        <v>0.49859999999999999</v>
      </c>
      <c r="E14" s="5"/>
      <c r="F14" s="5"/>
      <c r="G14" s="6"/>
      <c r="H14" s="5" t="str">
        <f t="shared" si="0"/>
        <v>0.4986-0.4986</v>
      </c>
      <c r="I14" s="5">
        <f t="shared" si="1"/>
        <v>0.49859999999999999</v>
      </c>
      <c r="J14" s="5" t="e">
        <f t="shared" ref="J14:J22" si="3">VAR(D14:G14)</f>
        <v>#DIV/0!</v>
      </c>
      <c r="K14" s="5" t="e">
        <f t="shared" si="2"/>
        <v>#DIV/0!</v>
      </c>
    </row>
    <row r="15" spans="2:11" x14ac:dyDescent="0.2">
      <c r="B15" s="5" t="s">
        <v>21</v>
      </c>
      <c r="C15" s="5" t="s">
        <v>61</v>
      </c>
      <c r="D15" s="5">
        <v>0.47970000000000002</v>
      </c>
      <c r="E15" s="5"/>
      <c r="F15" s="5"/>
      <c r="G15" s="6"/>
      <c r="H15" s="5" t="str">
        <f t="shared" si="0"/>
        <v>0.4797-0.4797</v>
      </c>
      <c r="I15" s="5">
        <f t="shared" si="1"/>
        <v>0.47970000000000002</v>
      </c>
      <c r="J15" s="5" t="e">
        <f t="shared" si="3"/>
        <v>#DIV/0!</v>
      </c>
      <c r="K15" s="5" t="e">
        <f t="shared" si="2"/>
        <v>#DIV/0!</v>
      </c>
    </row>
    <row r="16" spans="2:11" x14ac:dyDescent="0.2">
      <c r="B16" s="5" t="s">
        <v>22</v>
      </c>
      <c r="C16" s="5" t="s">
        <v>53</v>
      </c>
      <c r="D16" s="5">
        <v>0.66800000000000004</v>
      </c>
      <c r="E16" s="5"/>
      <c r="F16" s="5"/>
      <c r="G16" s="6"/>
      <c r="H16" s="5" t="str">
        <f t="shared" si="0"/>
        <v>0.668-0.668</v>
      </c>
      <c r="I16" s="5">
        <f t="shared" si="1"/>
        <v>0.66800000000000004</v>
      </c>
      <c r="J16" s="5" t="e">
        <f t="shared" si="3"/>
        <v>#DIV/0!</v>
      </c>
      <c r="K16" s="5" t="e">
        <f t="shared" si="2"/>
        <v>#DIV/0!</v>
      </c>
    </row>
    <row r="17" spans="2:11" x14ac:dyDescent="0.2">
      <c r="B17" s="5" t="s">
        <v>23</v>
      </c>
      <c r="C17" s="5" t="s">
        <v>54</v>
      </c>
      <c r="D17" s="5">
        <v>0.65720000000000001</v>
      </c>
      <c r="E17" s="5"/>
      <c r="F17" s="5"/>
      <c r="G17" s="6"/>
      <c r="H17" s="5" t="str">
        <f t="shared" si="0"/>
        <v>0.6572-0.6572</v>
      </c>
      <c r="I17" s="5">
        <f t="shared" si="1"/>
        <v>0.65720000000000001</v>
      </c>
      <c r="J17" s="5" t="e">
        <f t="shared" si="3"/>
        <v>#DIV/0!</v>
      </c>
      <c r="K17" s="5" t="e">
        <f t="shared" si="2"/>
        <v>#DIV/0!</v>
      </c>
    </row>
    <row r="18" spans="2:11" x14ac:dyDescent="0.2">
      <c r="B18" s="5" t="s">
        <v>24</v>
      </c>
      <c r="C18" s="5" t="s">
        <v>62</v>
      </c>
      <c r="D18" s="5">
        <v>0.73599999999999999</v>
      </c>
      <c r="E18" s="5"/>
      <c r="F18" s="5"/>
      <c r="G18" s="6"/>
      <c r="H18" s="5" t="str">
        <f t="shared" si="0"/>
        <v>0.736-0.736</v>
      </c>
      <c r="I18" s="5">
        <f t="shared" si="1"/>
        <v>0.73599999999999999</v>
      </c>
      <c r="J18" s="5" t="e">
        <f t="shared" si="3"/>
        <v>#DIV/0!</v>
      </c>
      <c r="K18" s="5" t="e">
        <f t="shared" si="2"/>
        <v>#DIV/0!</v>
      </c>
    </row>
    <row r="19" spans="2:11" x14ac:dyDescent="0.2">
      <c r="B19" s="5" t="s">
        <v>25</v>
      </c>
      <c r="C19" s="5" t="s">
        <v>63</v>
      </c>
      <c r="D19" s="5">
        <v>0.75519999999999998</v>
      </c>
      <c r="E19" s="5"/>
      <c r="F19" s="5"/>
      <c r="G19" s="6"/>
      <c r="H19" s="5" t="str">
        <f t="shared" si="0"/>
        <v>0.7552-0.7552</v>
      </c>
      <c r="I19" s="5">
        <f t="shared" si="1"/>
        <v>0.75519999999999998</v>
      </c>
      <c r="J19" s="5" t="e">
        <f t="shared" si="3"/>
        <v>#DIV/0!</v>
      </c>
      <c r="K19" s="5" t="e">
        <f t="shared" si="2"/>
        <v>#DIV/0!</v>
      </c>
    </row>
    <row r="20" spans="2:11" x14ac:dyDescent="0.2">
      <c r="B20" s="5" t="s">
        <v>26</v>
      </c>
      <c r="C20" s="5" t="s">
        <v>64</v>
      </c>
      <c r="D20" s="5">
        <v>0.48549999999999999</v>
      </c>
      <c r="E20" s="5"/>
      <c r="F20" s="5"/>
      <c r="G20" s="6"/>
      <c r="H20" s="5" t="str">
        <f t="shared" si="0"/>
        <v>0.4855-0.4855</v>
      </c>
      <c r="I20" s="5">
        <f t="shared" si="1"/>
        <v>0.48549999999999999</v>
      </c>
      <c r="J20" s="5" t="e">
        <f t="shared" si="3"/>
        <v>#DIV/0!</v>
      </c>
      <c r="K20" s="5" t="e">
        <f t="shared" si="2"/>
        <v>#DIV/0!</v>
      </c>
    </row>
    <row r="21" spans="2:11" x14ac:dyDescent="0.2">
      <c r="B21" s="5" t="s">
        <v>27</v>
      </c>
      <c r="C21" s="5" t="s">
        <v>65</v>
      </c>
      <c r="D21" s="5">
        <v>0.43609999999999999</v>
      </c>
      <c r="E21" s="5"/>
      <c r="F21" s="5"/>
      <c r="G21" s="6"/>
      <c r="H21" s="5" t="str">
        <f t="shared" si="0"/>
        <v>0.4361-0.4361</v>
      </c>
      <c r="I21" s="5">
        <f t="shared" si="1"/>
        <v>0.43609999999999999</v>
      </c>
      <c r="J21" s="5" t="e">
        <f t="shared" si="3"/>
        <v>#DIV/0!</v>
      </c>
      <c r="K21" s="5" t="e">
        <f t="shared" si="2"/>
        <v>#DIV/0!</v>
      </c>
    </row>
    <row r="22" spans="2:11" x14ac:dyDescent="0.2">
      <c r="B22" s="5" t="s">
        <v>28</v>
      </c>
      <c r="C22" s="5" t="s">
        <v>55</v>
      </c>
      <c r="D22" s="5">
        <v>0.43480000000000002</v>
      </c>
      <c r="E22" s="5"/>
      <c r="F22" s="5"/>
      <c r="G22" s="6"/>
      <c r="H22" s="5" t="str">
        <f t="shared" si="0"/>
        <v>0.4348-0.4348</v>
      </c>
      <c r="I22" s="5">
        <f t="shared" si="1"/>
        <v>0.43480000000000002</v>
      </c>
      <c r="J22" s="5" t="e">
        <f t="shared" si="3"/>
        <v>#DIV/0!</v>
      </c>
      <c r="K22" s="5" t="e">
        <f t="shared" si="2"/>
        <v>#DIV/0!</v>
      </c>
    </row>
    <row r="23" spans="2:11" x14ac:dyDescent="0.2">
      <c r="F23" s="7"/>
    </row>
  </sheetData>
  <mergeCells count="8">
    <mergeCell ref="D7:E7"/>
    <mergeCell ref="D8:E8"/>
    <mergeCell ref="G7:H7"/>
    <mergeCell ref="D2:H2"/>
    <mergeCell ref="D3:E3"/>
    <mergeCell ref="G3:H3"/>
    <mergeCell ref="D4:E4"/>
    <mergeCell ref="G4:H4"/>
  </mergeCells>
  <phoneticPr fontId="2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EC4C-43C9-40A5-86CC-B35B36982649}">
  <dimension ref="B1:K23"/>
  <sheetViews>
    <sheetView showGridLines="0" zoomScale="120" zoomScaleNormal="120" workbookViewId="0">
      <selection activeCell="E12" sqref="E12"/>
    </sheetView>
  </sheetViews>
  <sheetFormatPr defaultColWidth="11.5703125" defaultRowHeight="12.75" x14ac:dyDescent="0.2"/>
  <cols>
    <col min="1" max="1" width="5.7109375" customWidth="1"/>
    <col min="2" max="2" width="11.28515625" customWidth="1"/>
    <col min="3" max="3" width="30.28515625" customWidth="1"/>
    <col min="5" max="5" width="18.140625" customWidth="1"/>
    <col min="6" max="6" width="16.140625" customWidth="1"/>
    <col min="8" max="9" width="11.42578125" hidden="1" customWidth="1"/>
  </cols>
  <sheetData>
    <row r="1" spans="2:11" x14ac:dyDescent="0.2">
      <c r="B1" s="1"/>
      <c r="D1" s="1"/>
    </row>
    <row r="2" spans="2:11" x14ac:dyDescent="0.2">
      <c r="C2" s="2" t="s">
        <v>0</v>
      </c>
      <c r="D2" s="11" t="s">
        <v>58</v>
      </c>
      <c r="E2" s="11"/>
      <c r="F2" s="11"/>
      <c r="G2" s="11"/>
      <c r="H2" s="11"/>
      <c r="I2" s="8"/>
    </row>
    <row r="3" spans="2:11" x14ac:dyDescent="0.2">
      <c r="C3" s="2" t="s">
        <v>1</v>
      </c>
      <c r="D3" s="10" t="s">
        <v>57</v>
      </c>
      <c r="E3" s="10"/>
      <c r="F3" s="2" t="s">
        <v>2</v>
      </c>
      <c r="G3" s="10" t="s">
        <v>57</v>
      </c>
      <c r="H3" s="10"/>
      <c r="I3" s="9"/>
    </row>
    <row r="4" spans="2:11" x14ac:dyDescent="0.2">
      <c r="C4" s="2" t="s">
        <v>3</v>
      </c>
      <c r="D4" s="11"/>
      <c r="E4" s="11"/>
      <c r="F4" s="2" t="s">
        <v>4</v>
      </c>
      <c r="G4" s="12">
        <v>46302</v>
      </c>
      <c r="H4" s="10"/>
      <c r="I4" s="9"/>
    </row>
    <row r="5" spans="2:11" x14ac:dyDescent="0.2">
      <c r="C5" s="3"/>
      <c r="E5" s="1"/>
    </row>
    <row r="6" spans="2:11" x14ac:dyDescent="0.2">
      <c r="C6" s="3"/>
      <c r="E6" s="1"/>
    </row>
    <row r="7" spans="2:11" x14ac:dyDescent="0.2">
      <c r="C7" s="2" t="s">
        <v>5</v>
      </c>
      <c r="D7" s="10" t="s">
        <v>56</v>
      </c>
      <c r="E7" s="10"/>
      <c r="F7" s="4" t="s">
        <v>9</v>
      </c>
      <c r="G7" s="10" t="s">
        <v>67</v>
      </c>
      <c r="H7" s="10"/>
      <c r="I7" s="9"/>
    </row>
    <row r="8" spans="2:11" x14ac:dyDescent="0.2">
      <c r="C8" s="2" t="s">
        <v>6</v>
      </c>
      <c r="D8" s="11"/>
      <c r="E8" s="11"/>
    </row>
    <row r="11" spans="2:11" x14ac:dyDescent="0.2">
      <c r="B11" s="4" t="s">
        <v>7</v>
      </c>
      <c r="C11" s="4" t="s">
        <v>8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4" t="s">
        <v>17</v>
      </c>
      <c r="J11" s="4" t="s">
        <v>16</v>
      </c>
      <c r="K11" s="4" t="s">
        <v>15</v>
      </c>
    </row>
    <row r="12" spans="2:11" x14ac:dyDescent="0.2">
      <c r="B12" s="5" t="s">
        <v>31</v>
      </c>
      <c r="C12" s="5" t="s">
        <v>29</v>
      </c>
      <c r="D12" s="5">
        <v>0</v>
      </c>
      <c r="E12" s="5"/>
      <c r="F12" s="5"/>
      <c r="G12" s="6"/>
      <c r="H12" s="5" t="str">
        <f>MIN(D12:G12) &amp; "-" &amp; MAX(D12:G12)</f>
        <v>0-0</v>
      </c>
      <c r="I12" s="5">
        <f>AVERAGE(D12:G12)</f>
        <v>0</v>
      </c>
      <c r="J12" s="5" t="e">
        <f>VAR(D12:G12)</f>
        <v>#DIV/0!</v>
      </c>
      <c r="K12" s="5" t="e">
        <f>STDEV(D12:G12)</f>
        <v>#DIV/0!</v>
      </c>
    </row>
    <row r="13" spans="2:11" x14ac:dyDescent="0.2">
      <c r="B13" s="5" t="s">
        <v>32</v>
      </c>
      <c r="C13" s="5" t="s">
        <v>30</v>
      </c>
      <c r="D13" s="5">
        <v>0</v>
      </c>
      <c r="E13" s="5"/>
      <c r="F13" s="5"/>
      <c r="G13" s="6"/>
      <c r="H13" s="5" t="str">
        <f t="shared" ref="H13:H22" si="0">MIN(D13:G13) &amp; "-" &amp; MAX(D13:G13)</f>
        <v>0-0</v>
      </c>
      <c r="I13" s="5">
        <f t="shared" ref="I13:I22" si="1">AVERAGE(D13:G13)</f>
        <v>0</v>
      </c>
      <c r="J13" s="5" t="e">
        <f t="shared" ref="J13:J22" si="2">VAR(D13:G13)</f>
        <v>#DIV/0!</v>
      </c>
      <c r="K13" s="5" t="e">
        <f t="shared" ref="K13:K22" si="3">STDEV(D13:G13)</f>
        <v>#DIV/0!</v>
      </c>
    </row>
    <row r="14" spans="2:11" x14ac:dyDescent="0.2">
      <c r="B14" s="5" t="s">
        <v>33</v>
      </c>
      <c r="C14" s="5" t="s">
        <v>74</v>
      </c>
      <c r="D14" s="5">
        <v>0.79990000000000006</v>
      </c>
      <c r="E14" s="5"/>
      <c r="F14" s="5"/>
      <c r="G14" s="6"/>
      <c r="H14" s="5" t="str">
        <f t="shared" si="0"/>
        <v>0.7999-0.7999</v>
      </c>
      <c r="I14" s="5">
        <f t="shared" si="1"/>
        <v>0.79990000000000006</v>
      </c>
      <c r="J14" s="5" t="e">
        <f t="shared" si="2"/>
        <v>#DIV/0!</v>
      </c>
      <c r="K14" s="5" t="e">
        <f t="shared" si="3"/>
        <v>#DIV/0!</v>
      </c>
    </row>
    <row r="15" spans="2:11" x14ac:dyDescent="0.2">
      <c r="B15" s="5" t="s">
        <v>34</v>
      </c>
      <c r="C15" s="5" t="s">
        <v>69</v>
      </c>
      <c r="D15" s="5">
        <v>0.74470000000000003</v>
      </c>
      <c r="E15" s="5"/>
      <c r="F15" s="5"/>
      <c r="G15" s="6"/>
      <c r="H15" s="5" t="str">
        <f t="shared" si="0"/>
        <v>0.7447-0.7447</v>
      </c>
      <c r="I15" s="5">
        <f t="shared" si="1"/>
        <v>0.74470000000000003</v>
      </c>
      <c r="J15" s="5" t="e">
        <f t="shared" si="2"/>
        <v>#DIV/0!</v>
      </c>
      <c r="K15" s="5" t="e">
        <f t="shared" si="3"/>
        <v>#DIV/0!</v>
      </c>
    </row>
    <row r="16" spans="2:11" x14ac:dyDescent="0.2">
      <c r="B16" s="5" t="s">
        <v>35</v>
      </c>
      <c r="C16" s="5" t="s">
        <v>76</v>
      </c>
      <c r="D16" s="5">
        <v>0.71930000000000005</v>
      </c>
      <c r="E16" s="5"/>
      <c r="F16" s="5"/>
      <c r="G16" s="6"/>
      <c r="H16" s="5" t="str">
        <f t="shared" si="0"/>
        <v>0.7193-0.7193</v>
      </c>
      <c r="I16" s="5">
        <f t="shared" si="1"/>
        <v>0.71930000000000005</v>
      </c>
      <c r="J16" s="5" t="e">
        <f t="shared" si="2"/>
        <v>#DIV/0!</v>
      </c>
      <c r="K16" s="5" t="e">
        <f t="shared" si="3"/>
        <v>#DIV/0!</v>
      </c>
    </row>
    <row r="17" spans="2:11" x14ac:dyDescent="0.2">
      <c r="B17" s="5" t="s">
        <v>36</v>
      </c>
      <c r="C17" s="5" t="s">
        <v>54</v>
      </c>
      <c r="D17" s="5">
        <v>0.74790000000000001</v>
      </c>
      <c r="E17" s="5"/>
      <c r="F17" s="5"/>
      <c r="G17" s="6"/>
      <c r="H17" s="5" t="str">
        <f t="shared" si="0"/>
        <v>0.7479-0.7479</v>
      </c>
      <c r="I17" s="5">
        <f t="shared" si="1"/>
        <v>0.74790000000000001</v>
      </c>
      <c r="J17" s="5" t="e">
        <f t="shared" si="2"/>
        <v>#DIV/0!</v>
      </c>
      <c r="K17" s="5" t="e">
        <f t="shared" si="3"/>
        <v>#DIV/0!</v>
      </c>
    </row>
    <row r="18" spans="2:11" x14ac:dyDescent="0.2">
      <c r="B18" s="5" t="s">
        <v>37</v>
      </c>
      <c r="C18" s="5" t="s">
        <v>70</v>
      </c>
      <c r="D18" s="5">
        <v>0.4597</v>
      </c>
      <c r="E18" s="5"/>
      <c r="F18" s="5"/>
      <c r="G18" s="6"/>
      <c r="H18" s="5" t="str">
        <f t="shared" si="0"/>
        <v>0.4597-0.4597</v>
      </c>
      <c r="I18" s="5">
        <f t="shared" si="1"/>
        <v>0.4597</v>
      </c>
      <c r="J18" s="5" t="e">
        <f t="shared" si="2"/>
        <v>#DIV/0!</v>
      </c>
      <c r="K18" s="5" t="e">
        <f t="shared" si="3"/>
        <v>#DIV/0!</v>
      </c>
    </row>
    <row r="19" spans="2:11" x14ac:dyDescent="0.2">
      <c r="B19" s="5" t="s">
        <v>38</v>
      </c>
      <c r="C19" s="5" t="s">
        <v>75</v>
      </c>
      <c r="D19" s="5">
        <v>0.46400000000000002</v>
      </c>
      <c r="E19" s="5"/>
      <c r="F19" s="5"/>
      <c r="G19" s="6"/>
      <c r="H19" s="5" t="str">
        <f t="shared" si="0"/>
        <v>0.464-0.464</v>
      </c>
      <c r="I19" s="5">
        <f t="shared" si="1"/>
        <v>0.46400000000000002</v>
      </c>
      <c r="J19" s="5" t="e">
        <f t="shared" si="2"/>
        <v>#DIV/0!</v>
      </c>
      <c r="K19" s="5" t="e">
        <f t="shared" si="3"/>
        <v>#DIV/0!</v>
      </c>
    </row>
    <row r="20" spans="2:11" x14ac:dyDescent="0.2">
      <c r="B20" s="5" t="s">
        <v>39</v>
      </c>
      <c r="C20" s="5" t="s">
        <v>71</v>
      </c>
      <c r="D20" s="5">
        <v>0.42830000000000001</v>
      </c>
      <c r="E20" s="5"/>
      <c r="F20" s="5"/>
      <c r="G20" s="6"/>
      <c r="H20" s="5" t="str">
        <f t="shared" si="0"/>
        <v>0.4283-0.4283</v>
      </c>
      <c r="I20" s="5">
        <f t="shared" si="1"/>
        <v>0.42830000000000001</v>
      </c>
      <c r="J20" s="5" t="e">
        <f t="shared" si="2"/>
        <v>#DIV/0!</v>
      </c>
      <c r="K20" s="5" t="e">
        <f t="shared" si="3"/>
        <v>#DIV/0!</v>
      </c>
    </row>
    <row r="21" spans="2:11" x14ac:dyDescent="0.2">
      <c r="B21" s="5" t="s">
        <v>40</v>
      </c>
      <c r="C21" s="5" t="s">
        <v>72</v>
      </c>
      <c r="D21" s="5">
        <v>0.4677</v>
      </c>
      <c r="E21" s="5"/>
      <c r="F21" s="5"/>
      <c r="G21" s="6"/>
      <c r="H21" s="5" t="str">
        <f t="shared" si="0"/>
        <v>0.4677-0.4677</v>
      </c>
      <c r="I21" s="5">
        <f t="shared" si="1"/>
        <v>0.4677</v>
      </c>
      <c r="J21" s="5" t="e">
        <f t="shared" si="2"/>
        <v>#DIV/0!</v>
      </c>
      <c r="K21" s="5" t="e">
        <f t="shared" si="3"/>
        <v>#DIV/0!</v>
      </c>
    </row>
    <row r="22" spans="2:11" x14ac:dyDescent="0.2">
      <c r="B22" s="5" t="s">
        <v>41</v>
      </c>
      <c r="C22" s="5" t="s">
        <v>73</v>
      </c>
      <c r="D22" s="5">
        <v>0.79990000000000006</v>
      </c>
      <c r="E22" s="5"/>
      <c r="F22" s="5"/>
      <c r="G22" s="6"/>
      <c r="H22" s="5" t="str">
        <f t="shared" si="0"/>
        <v>0.7999-0.7999</v>
      </c>
      <c r="I22" s="5">
        <f t="shared" si="1"/>
        <v>0.79990000000000006</v>
      </c>
      <c r="J22" s="5" t="e">
        <f t="shared" si="2"/>
        <v>#DIV/0!</v>
      </c>
      <c r="K22" s="5" t="e">
        <f t="shared" si="3"/>
        <v>#DIV/0!</v>
      </c>
    </row>
    <row r="23" spans="2:11" x14ac:dyDescent="0.2">
      <c r="F23" s="7"/>
    </row>
  </sheetData>
  <mergeCells count="8">
    <mergeCell ref="D8:E8"/>
    <mergeCell ref="D2:H2"/>
    <mergeCell ref="D3:E3"/>
    <mergeCell ref="G3:H3"/>
    <mergeCell ref="D4:E4"/>
    <mergeCell ref="G4:H4"/>
    <mergeCell ref="D7:E7"/>
    <mergeCell ref="G7:H7"/>
  </mergeCells>
  <phoneticPr fontId="2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8BE4-A0BA-4CF1-9426-A7A4CAF0F04A}">
  <dimension ref="B1:K23"/>
  <sheetViews>
    <sheetView showGridLines="0" tabSelected="1" zoomScale="120" zoomScaleNormal="120" workbookViewId="0">
      <selection activeCell="K7" sqref="K7"/>
    </sheetView>
  </sheetViews>
  <sheetFormatPr defaultColWidth="11.5703125" defaultRowHeight="12.75" x14ac:dyDescent="0.2"/>
  <cols>
    <col min="1" max="1" width="5.7109375" customWidth="1"/>
    <col min="2" max="2" width="11.28515625" customWidth="1"/>
    <col min="3" max="3" width="26.85546875" customWidth="1"/>
    <col min="5" max="5" width="18.140625" customWidth="1"/>
    <col min="6" max="6" width="16.140625" customWidth="1"/>
    <col min="8" max="9" width="11.42578125" hidden="1" customWidth="1"/>
  </cols>
  <sheetData>
    <row r="1" spans="2:11" x14ac:dyDescent="0.2">
      <c r="B1" s="1"/>
      <c r="D1" s="1"/>
    </row>
    <row r="2" spans="2:11" x14ac:dyDescent="0.2">
      <c r="C2" s="2" t="s">
        <v>0</v>
      </c>
      <c r="D2" s="11" t="s">
        <v>58</v>
      </c>
      <c r="E2" s="11"/>
      <c r="F2" s="11"/>
      <c r="G2" s="11"/>
      <c r="H2" s="11"/>
      <c r="I2" s="8"/>
    </row>
    <row r="3" spans="2:11" x14ac:dyDescent="0.2">
      <c r="C3" s="2" t="s">
        <v>1</v>
      </c>
      <c r="D3" s="10" t="s">
        <v>57</v>
      </c>
      <c r="E3" s="10"/>
      <c r="F3" s="2" t="s">
        <v>2</v>
      </c>
      <c r="G3" s="10" t="s">
        <v>57</v>
      </c>
      <c r="H3" s="10"/>
      <c r="I3" s="9"/>
    </row>
    <row r="4" spans="2:11" x14ac:dyDescent="0.2">
      <c r="C4" s="2" t="s">
        <v>3</v>
      </c>
      <c r="D4" s="11"/>
      <c r="E4" s="11"/>
      <c r="F4" s="2" t="s">
        <v>4</v>
      </c>
      <c r="G4" s="12">
        <v>46302</v>
      </c>
      <c r="H4" s="10"/>
      <c r="I4" s="9"/>
    </row>
    <row r="5" spans="2:11" x14ac:dyDescent="0.2">
      <c r="C5" s="3"/>
      <c r="E5" s="1"/>
    </row>
    <row r="6" spans="2:11" x14ac:dyDescent="0.2">
      <c r="C6" s="3"/>
      <c r="E6" s="1"/>
    </row>
    <row r="7" spans="2:11" x14ac:dyDescent="0.2">
      <c r="C7" s="2" t="s">
        <v>5</v>
      </c>
      <c r="D7" s="10" t="s">
        <v>56</v>
      </c>
      <c r="E7" s="10"/>
      <c r="F7" s="4" t="s">
        <v>9</v>
      </c>
      <c r="G7" s="10" t="s">
        <v>68</v>
      </c>
      <c r="H7" s="10"/>
      <c r="I7" s="9"/>
    </row>
    <row r="8" spans="2:11" x14ac:dyDescent="0.2">
      <c r="C8" s="2" t="s">
        <v>6</v>
      </c>
      <c r="D8" s="11"/>
      <c r="E8" s="11"/>
    </row>
    <row r="11" spans="2:11" x14ac:dyDescent="0.2">
      <c r="B11" s="4" t="s">
        <v>7</v>
      </c>
      <c r="C11" s="4" t="s">
        <v>8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4" t="s">
        <v>17</v>
      </c>
      <c r="J11" s="4" t="s">
        <v>16</v>
      </c>
      <c r="K11" s="4" t="s">
        <v>15</v>
      </c>
    </row>
    <row r="12" spans="2:11" x14ac:dyDescent="0.2">
      <c r="B12" s="5" t="s">
        <v>42</v>
      </c>
      <c r="C12" s="5" t="s">
        <v>29</v>
      </c>
      <c r="D12" s="5">
        <v>0</v>
      </c>
      <c r="E12" s="5"/>
      <c r="F12" s="5"/>
      <c r="G12" s="6"/>
      <c r="H12" s="5" t="str">
        <f>MIN(D12:G12) &amp; "-" &amp; MAX(D12:G12)</f>
        <v>0-0</v>
      </c>
      <c r="I12" s="5">
        <f>AVERAGE(D12:G12)</f>
        <v>0</v>
      </c>
      <c r="J12" s="5" t="e">
        <f>VAR(D12:G12)</f>
        <v>#DIV/0!</v>
      </c>
      <c r="K12" s="5" t="e">
        <f>STDEV(D12:G12)</f>
        <v>#DIV/0!</v>
      </c>
    </row>
    <row r="13" spans="2:11" x14ac:dyDescent="0.2">
      <c r="B13" s="5" t="s">
        <v>43</v>
      </c>
      <c r="C13" s="5" t="s">
        <v>30</v>
      </c>
      <c r="D13" s="5">
        <v>0</v>
      </c>
      <c r="E13" s="5"/>
      <c r="F13" s="5"/>
      <c r="G13" s="6"/>
      <c r="H13" s="5" t="str">
        <f t="shared" ref="H13:H22" si="0">MIN(D13:G13) &amp; "-" &amp; MAX(D13:G13)</f>
        <v>0-0</v>
      </c>
      <c r="I13" s="5">
        <f t="shared" ref="I13:I22" si="1">AVERAGE(D13:G13)</f>
        <v>0</v>
      </c>
      <c r="J13" s="5" t="e">
        <f t="shared" ref="J13:J22" si="2">VAR(D13:G13)</f>
        <v>#DIV/0!</v>
      </c>
      <c r="K13" s="5" t="e">
        <f t="shared" ref="K13:K22" si="3">STDEV(D13:G13)</f>
        <v>#DIV/0!</v>
      </c>
    </row>
    <row r="14" spans="2:11" x14ac:dyDescent="0.2">
      <c r="B14" s="5" t="s">
        <v>44</v>
      </c>
      <c r="C14" s="5" t="s">
        <v>77</v>
      </c>
      <c r="D14" s="5">
        <v>0.49969999999999998</v>
      </c>
      <c r="E14" s="5"/>
      <c r="F14" s="5"/>
      <c r="G14" s="6"/>
      <c r="H14" s="5" t="str">
        <f t="shared" si="0"/>
        <v>0.4997-0.4997</v>
      </c>
      <c r="I14" s="5">
        <f t="shared" si="1"/>
        <v>0.49969999999999998</v>
      </c>
      <c r="J14" s="5" t="e">
        <f t="shared" si="2"/>
        <v>#DIV/0!</v>
      </c>
      <c r="K14" s="5" t="e">
        <f t="shared" si="3"/>
        <v>#DIV/0!</v>
      </c>
    </row>
    <row r="15" spans="2:11" x14ac:dyDescent="0.2">
      <c r="B15" s="5" t="s">
        <v>45</v>
      </c>
      <c r="C15" s="5" t="s">
        <v>78</v>
      </c>
      <c r="D15" s="5">
        <v>0.74539999999999995</v>
      </c>
      <c r="E15" s="5"/>
      <c r="F15" s="5"/>
      <c r="G15" s="6"/>
      <c r="H15" s="5" t="str">
        <f t="shared" si="0"/>
        <v>0.7454-0.7454</v>
      </c>
      <c r="I15" s="5">
        <f t="shared" si="1"/>
        <v>0.74539999999999995</v>
      </c>
      <c r="J15" s="5" t="e">
        <f t="shared" si="2"/>
        <v>#DIV/0!</v>
      </c>
      <c r="K15" s="5" t="e">
        <f t="shared" si="3"/>
        <v>#DIV/0!</v>
      </c>
    </row>
    <row r="16" spans="2:11" x14ac:dyDescent="0.2">
      <c r="B16" s="5" t="s">
        <v>46</v>
      </c>
      <c r="C16" s="5" t="s">
        <v>82</v>
      </c>
      <c r="D16" s="5">
        <v>0.4355</v>
      </c>
      <c r="E16" s="5"/>
      <c r="F16" s="5"/>
      <c r="G16" s="6"/>
      <c r="H16" s="5" t="str">
        <f t="shared" si="0"/>
        <v>0.4355-0.4355</v>
      </c>
      <c r="I16" s="5">
        <f t="shared" si="1"/>
        <v>0.4355</v>
      </c>
      <c r="J16" s="5" t="e">
        <f t="shared" si="2"/>
        <v>#DIV/0!</v>
      </c>
      <c r="K16" s="5" t="e">
        <f t="shared" si="3"/>
        <v>#DIV/0!</v>
      </c>
    </row>
    <row r="17" spans="2:11" x14ac:dyDescent="0.2">
      <c r="B17" s="5" t="s">
        <v>47</v>
      </c>
      <c r="C17" s="5" t="s">
        <v>54</v>
      </c>
      <c r="D17" s="5">
        <v>0.74790000000000001</v>
      </c>
      <c r="E17" s="5"/>
      <c r="F17" s="5"/>
      <c r="G17" s="6"/>
      <c r="H17" s="5" t="str">
        <f t="shared" si="0"/>
        <v>0.7479-0.7479</v>
      </c>
      <c r="I17" s="5">
        <f t="shared" si="1"/>
        <v>0.74790000000000001</v>
      </c>
      <c r="J17" s="5" t="e">
        <f t="shared" si="2"/>
        <v>#DIV/0!</v>
      </c>
      <c r="K17" s="5" t="e">
        <f t="shared" si="3"/>
        <v>#DIV/0!</v>
      </c>
    </row>
    <row r="18" spans="2:11" x14ac:dyDescent="0.2">
      <c r="B18" s="5" t="s">
        <v>48</v>
      </c>
      <c r="C18" s="5" t="s">
        <v>70</v>
      </c>
      <c r="D18" s="5">
        <v>0.4597</v>
      </c>
      <c r="E18" s="5"/>
      <c r="F18" s="5"/>
      <c r="G18" s="6"/>
      <c r="H18" s="5" t="str">
        <f t="shared" si="0"/>
        <v>0.4597-0.4597</v>
      </c>
      <c r="I18" s="5">
        <f t="shared" si="1"/>
        <v>0.4597</v>
      </c>
      <c r="J18" s="5" t="e">
        <f t="shared" si="2"/>
        <v>#DIV/0!</v>
      </c>
      <c r="K18" s="5" t="e">
        <f t="shared" si="3"/>
        <v>#DIV/0!</v>
      </c>
    </row>
    <row r="19" spans="2:11" x14ac:dyDescent="0.2">
      <c r="B19" s="5" t="s">
        <v>49</v>
      </c>
      <c r="C19" s="5" t="s">
        <v>79</v>
      </c>
      <c r="D19" s="5">
        <v>0.49309999999999998</v>
      </c>
      <c r="E19" s="5"/>
      <c r="F19" s="5"/>
      <c r="G19" s="6"/>
      <c r="H19" s="5" t="str">
        <f t="shared" si="0"/>
        <v>0.4931-0.4931</v>
      </c>
      <c r="I19" s="5">
        <f t="shared" si="1"/>
        <v>0.49309999999999998</v>
      </c>
      <c r="J19" s="5" t="e">
        <f t="shared" si="2"/>
        <v>#DIV/0!</v>
      </c>
      <c r="K19" s="5" t="e">
        <f t="shared" si="3"/>
        <v>#DIV/0!</v>
      </c>
    </row>
    <row r="20" spans="2:11" x14ac:dyDescent="0.2">
      <c r="B20" s="5" t="s">
        <v>50</v>
      </c>
      <c r="C20" s="5" t="s">
        <v>80</v>
      </c>
      <c r="D20" s="5">
        <v>0.45369999999999999</v>
      </c>
      <c r="E20" s="5"/>
      <c r="F20" s="5"/>
      <c r="G20" s="6"/>
      <c r="H20" s="5" t="str">
        <f t="shared" si="0"/>
        <v>0.4537-0.4537</v>
      </c>
      <c r="I20" s="5">
        <f t="shared" si="1"/>
        <v>0.45369999999999999</v>
      </c>
      <c r="J20" s="5" t="e">
        <f t="shared" si="2"/>
        <v>#DIV/0!</v>
      </c>
      <c r="K20" s="5" t="e">
        <f t="shared" si="3"/>
        <v>#DIV/0!</v>
      </c>
    </row>
    <row r="21" spans="2:11" x14ac:dyDescent="0.2">
      <c r="B21" s="5" t="s">
        <v>51</v>
      </c>
      <c r="C21" s="5" t="s">
        <v>81</v>
      </c>
      <c r="D21" s="5">
        <v>0.43869999999999998</v>
      </c>
      <c r="E21" s="5"/>
      <c r="F21" s="5"/>
      <c r="G21" s="6"/>
      <c r="H21" s="5" t="str">
        <f t="shared" si="0"/>
        <v>0.4387-0.4387</v>
      </c>
      <c r="I21" s="5">
        <f t="shared" si="1"/>
        <v>0.43869999999999998</v>
      </c>
      <c r="J21" s="5" t="e">
        <f t="shared" si="2"/>
        <v>#DIV/0!</v>
      </c>
      <c r="K21" s="5" t="e">
        <f t="shared" si="3"/>
        <v>#DIV/0!</v>
      </c>
    </row>
    <row r="22" spans="2:11" x14ac:dyDescent="0.2">
      <c r="B22" s="5" t="s">
        <v>52</v>
      </c>
      <c r="C22" s="5" t="s">
        <v>55</v>
      </c>
      <c r="D22" s="5">
        <v>0.69299999999999995</v>
      </c>
      <c r="E22" s="5"/>
      <c r="F22" s="5"/>
      <c r="G22" s="6"/>
      <c r="H22" s="5" t="str">
        <f t="shared" si="0"/>
        <v>0.693-0.693</v>
      </c>
      <c r="I22" s="5">
        <f t="shared" si="1"/>
        <v>0.69299999999999995</v>
      </c>
      <c r="J22" s="5" t="e">
        <f t="shared" si="2"/>
        <v>#DIV/0!</v>
      </c>
      <c r="K22" s="5" t="e">
        <f t="shared" si="3"/>
        <v>#DIV/0!</v>
      </c>
    </row>
    <row r="23" spans="2:11" x14ac:dyDescent="0.2">
      <c r="F23" s="7"/>
    </row>
  </sheetData>
  <mergeCells count="8">
    <mergeCell ref="D8:E8"/>
    <mergeCell ref="D2:H2"/>
    <mergeCell ref="D3:E3"/>
    <mergeCell ref="G3:H3"/>
    <mergeCell ref="D4:E4"/>
    <mergeCell ref="G4:H4"/>
    <mergeCell ref="D7:E7"/>
    <mergeCell ref="G7:H7"/>
  </mergeCells>
  <phoneticPr fontId="2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1.4.1</vt:lpstr>
      <vt:lpstr>1.4.2</vt:lpstr>
      <vt:lpstr>1.4.3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Sally Little</dc:creator>
  <dc:description/>
  <cp:lastModifiedBy>Sally Little</cp:lastModifiedBy>
  <cp:revision>1</cp:revision>
  <cp:lastPrinted>2026-10-10T04:46:38Z</cp:lastPrinted>
  <dcterms:created xsi:type="dcterms:W3CDTF">2026-08-15T20:01:47Z</dcterms:created>
  <dcterms:modified xsi:type="dcterms:W3CDTF">2026-10-10T07:57:16Z</dcterms:modified>
  <dc:language>en-US</dc:language>
</cp:coreProperties>
</file>